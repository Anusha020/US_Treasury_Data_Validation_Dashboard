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shi\Downloads\ICE folder\"/>
    </mc:Choice>
  </mc:AlternateContent>
  <xr:revisionPtr revIDLastSave="0" documentId="13_ncr:1_{847ACAB1-0D3D-4DE8-A356-0E7842A6DA10}" xr6:coauthVersionLast="47" xr6:coauthVersionMax="47" xr10:uidLastSave="{00000000-0000-0000-0000-000000000000}"/>
  <bookViews>
    <workbookView xWindow="-110" yWindow="-110" windowWidth="19420" windowHeight="10420" xr2:uid="{9F75C018-DAE4-463A-BFFF-C56120F16DC4}"/>
  </bookViews>
  <sheets>
    <sheet name="Yield Curve" sheetId="3" r:id="rId1"/>
    <sheet name="Raw Data" sheetId="1" r:id="rId2"/>
    <sheet name="US Treasury 16.03.2026" sheetId="2" r:id="rId3"/>
  </sheets>
  <definedNames>
    <definedName name="_xlnm._FilterDatabase" localSheetId="2" hidden="1">'US Treasury 16.03.2026'!$A$1:$I$36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7" i="2"/>
  <c r="I9" i="2"/>
  <c r="I10" i="2"/>
  <c r="I14" i="2"/>
  <c r="I16" i="2"/>
  <c r="I17" i="2"/>
  <c r="I21" i="2"/>
  <c r="I23" i="2"/>
  <c r="I28" i="2"/>
  <c r="I30" i="2"/>
  <c r="I31" i="2"/>
  <c r="I11" i="2"/>
  <c r="I18" i="2"/>
  <c r="I24" i="2"/>
  <c r="I32" i="2"/>
  <c r="I3" i="2"/>
  <c r="I4" i="2"/>
  <c r="I6" i="2"/>
  <c r="I8" i="2"/>
  <c r="I12" i="2"/>
  <c r="I15" i="2"/>
  <c r="I19" i="2"/>
  <c r="I22" i="2"/>
  <c r="I25" i="2"/>
  <c r="I29" i="2"/>
  <c r="I33" i="2"/>
  <c r="I26" i="2"/>
  <c r="I27" i="2"/>
  <c r="I20" i="2"/>
  <c r="I13" i="2"/>
  <c r="I34" i="2"/>
  <c r="I35" i="2"/>
  <c r="I36" i="2"/>
  <c r="I2" i="2"/>
  <c r="H5" i="2"/>
  <c r="H7" i="2"/>
  <c r="H9" i="2"/>
  <c r="H10" i="2"/>
  <c r="H14" i="2"/>
  <c r="H16" i="2"/>
  <c r="H17" i="2"/>
  <c r="H21" i="2"/>
  <c r="H23" i="2"/>
  <c r="H28" i="2"/>
  <c r="H30" i="2"/>
  <c r="H31" i="2"/>
  <c r="H11" i="2"/>
  <c r="H18" i="2"/>
  <c r="H24" i="2"/>
  <c r="H32" i="2"/>
  <c r="H3" i="2"/>
  <c r="H4" i="2"/>
  <c r="H6" i="2"/>
  <c r="H8" i="2"/>
  <c r="H12" i="2"/>
  <c r="H15" i="2"/>
  <c r="H19" i="2"/>
  <c r="H22" i="2"/>
  <c r="H25" i="2"/>
  <c r="H29" i="2"/>
  <c r="H33" i="2"/>
  <c r="H26" i="2"/>
  <c r="H27" i="2"/>
  <c r="H20" i="2"/>
  <c r="H13" i="2"/>
  <c r="H34" i="2"/>
  <c r="H35" i="2"/>
  <c r="H36" i="2"/>
  <c r="H2" i="2"/>
  <c r="G5" i="2"/>
  <c r="G7" i="2"/>
  <c r="G9" i="2"/>
  <c r="G10" i="2"/>
  <c r="G14" i="2"/>
  <c r="G16" i="2"/>
  <c r="G17" i="2"/>
  <c r="G21" i="2"/>
  <c r="G23" i="2"/>
  <c r="G28" i="2"/>
  <c r="G30" i="2"/>
  <c r="G31" i="2"/>
  <c r="G11" i="2"/>
  <c r="G18" i="2"/>
  <c r="G24" i="2"/>
  <c r="G32" i="2"/>
  <c r="G3" i="2"/>
  <c r="G4" i="2"/>
  <c r="G6" i="2"/>
  <c r="G8" i="2"/>
  <c r="G12" i="2"/>
  <c r="G15" i="2"/>
  <c r="G19" i="2"/>
  <c r="G22" i="2"/>
  <c r="G25" i="2"/>
  <c r="G29" i="2"/>
  <c r="G33" i="2"/>
  <c r="G26" i="2"/>
  <c r="G27" i="2"/>
  <c r="G20" i="2"/>
  <c r="G13" i="2"/>
  <c r="G34" i="2"/>
  <c r="G35" i="2"/>
  <c r="G36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Vamshi</author>
  </authors>
  <commentList>
    <comment ref="C2" authorId="0" shapeId="0" xr:uid="{5E8B6A32-7C87-4533-9087-8D63006CC2FA}">
      <text>
        <r>
          <rPr>
            <b/>
            <sz val="9"/>
            <color indexed="81"/>
            <rFont val="Tahoma"/>
            <family val="2"/>
          </rPr>
          <t>Treasury Bills (Tenor&lt;1yr) must have a 0% coupon; price &gt;$100 are flagged as entry errors.</t>
        </r>
      </text>
    </comment>
    <comment ref="D14" authorId="0" shapeId="0" xr:uid="{C2A23EBD-B72E-4073-8768-1D8771406F73}">
      <text>
        <r>
          <rPr>
            <b/>
            <sz val="9"/>
            <color indexed="81"/>
            <rFont val="Tahoma"/>
            <family val="2"/>
          </rPr>
          <t>Coupon-bearing Notes/Bonds must follow the inverse relationship between Price and Market Yield.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CBD54890-2C74-4B72-81C0-2A03C8708FF0}">
      <text>
        <r>
          <rPr>
            <b/>
            <sz val="9"/>
            <color indexed="81"/>
            <rFont val="Tahoma"/>
            <family val="2"/>
          </rPr>
          <t>Maturity Status is cross-referenced agained the current date to identify expired securities.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<sst xmlns="http://schemas.openxmlformats.org/spreadsheetml/2006/main" count="285" uniqueCount="63">
  <si>
    <t>Security ID</t>
  </si>
  <si>
    <t>Maturity Term</t>
  </si>
  <si>
    <t>Coupon</t>
  </si>
  <si>
    <t>Market Yield</t>
  </si>
  <si>
    <t>Bond Price</t>
  </si>
  <si>
    <t>Status</t>
  </si>
  <si>
    <t>T-BILL-01</t>
  </si>
  <si>
    <t>1-Month</t>
  </si>
  <si>
    <t>Active</t>
  </si>
  <si>
    <t>T-BILL-02</t>
  </si>
  <si>
    <t>3-Month</t>
  </si>
  <si>
    <t>T-BILL-03</t>
  </si>
  <si>
    <t>6-Month</t>
  </si>
  <si>
    <t>T-NOTE-01</t>
  </si>
  <si>
    <t>2-Year</t>
  </si>
  <si>
    <t>T-NOTE-02</t>
  </si>
  <si>
    <t>T-NOTE-03</t>
  </si>
  <si>
    <t>3-Year</t>
  </si>
  <si>
    <t>T-NOTE-04</t>
  </si>
  <si>
    <t>5-Year</t>
  </si>
  <si>
    <t>T-NOTE-05</t>
  </si>
  <si>
    <t>T-NOTE-06</t>
  </si>
  <si>
    <t>7-Year</t>
  </si>
  <si>
    <t>T-NOTE-07</t>
  </si>
  <si>
    <t>10-Year</t>
  </si>
  <si>
    <t>T-BOND-01</t>
  </si>
  <si>
    <t>20-Year</t>
  </si>
  <si>
    <t>T-BOND-02</t>
  </si>
  <si>
    <t>30-Year</t>
  </si>
  <si>
    <t>T-BOND-03</t>
  </si>
  <si>
    <t>T-NOTE-08</t>
  </si>
  <si>
    <t>T-NOTE-09</t>
  </si>
  <si>
    <t>T-NOTE-10</t>
  </si>
  <si>
    <t>T-BOND-04</t>
  </si>
  <si>
    <t>T-BILL-04</t>
  </si>
  <si>
    <t>4-Week</t>
  </si>
  <si>
    <t>T-BILL-05</t>
  </si>
  <si>
    <t>8-Week</t>
  </si>
  <si>
    <t>T-BILL-06</t>
  </si>
  <si>
    <t>13-Week</t>
  </si>
  <si>
    <t>T-BILL-07</t>
  </si>
  <si>
    <t>26-Week</t>
  </si>
  <si>
    <t>T-NOTE-11</t>
  </si>
  <si>
    <t>T-NOTE-12</t>
  </si>
  <si>
    <t>Matured</t>
  </si>
  <si>
    <t>2-Month</t>
  </si>
  <si>
    <t>6.5-Month</t>
  </si>
  <si>
    <t>T-NOTE-13</t>
  </si>
  <si>
    <t>T-NOTE-14</t>
  </si>
  <si>
    <t>T-NOTE-15</t>
  </si>
  <si>
    <t>T-BOND-05</t>
  </si>
  <si>
    <t>T-BOND-06</t>
  </si>
  <si>
    <t>T-NOTE-16</t>
  </si>
  <si>
    <t>T-NOTE-17</t>
  </si>
  <si>
    <t>T-NOTE-18</t>
  </si>
  <si>
    <t>T-NOTE-19</t>
  </si>
  <si>
    <t>T-BOND-07</t>
  </si>
  <si>
    <t>T-BOND-08</t>
  </si>
  <si>
    <t>T-BOND-09</t>
  </si>
  <si>
    <t>Data Validation</t>
  </si>
  <si>
    <t>Maturity Term vs. Coupon</t>
  </si>
  <si>
    <t>Total Months</t>
  </si>
  <si>
    <r>
      <t xml:space="preserve">Please read the notes : </t>
    </r>
    <r>
      <rPr>
        <sz val="11"/>
        <color theme="1"/>
        <rFont val="Aptos Narrow"/>
        <family val="2"/>
        <scheme val="minor"/>
      </rPr>
      <t>C2,D14,F36.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</si>
</sst>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[$-F400]h:mm:ss\ AM/PM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44" fontId="0" fillId="0" borderId="0" xfId="1" applyFont="1"/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164" fontId="0" fillId="0" borderId="0" xfId="0" applyNumberFormat="1" applyAlignment="1">
      <alignment vertical="center" wrapText="1"/>
    </xf>
    <xf numFmtId="0" fontId="2" fillId="0" borderId="0" xfId="0" applyFont="1"/>
    <xf numFmtId="165" fontId="2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0" fontId="6" fillId="0" borderId="0" xfId="0" applyFont="1"/>
  </cellXfs>
  <cellStyles count="2">
    <cellStyle name="Currency" xfId="1" builtinId="4"/>
    <cellStyle name="Normal" xfId="0" builtinId="0"/>
  </cellStyles>
  <dxfs count="6">
    <dxf>
      <numFmt numFmtId="164" formatCode="_-[$$-409]* #,##0.00_ ;_-[$$-409]* \-#,##0.00\ ;_-[$$-409]* &quot;-&quot;??_ ;_-@_ 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90000"/>
                    <a:lumOff val="10000"/>
                  </a:schemeClr>
                </a:solidFill>
              </a:rPr>
              <a:t>Market Yield Curve on 16.03.2026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'Yield Curve'!$D$1</c:f>
              <c:strCache>
                <c:ptCount val="1"/>
                <c:pt idx="0">
                  <c:v>Market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'Yield Curve'!$B$2:$B$28</c:f>
              <c:strCache>
                <c:ptCount val="27"/>
                <c:pt idx="0">
                  <c:v>1-Month</c:v>
                </c:pt>
                <c:pt idx="1">
                  <c:v>2-Month</c:v>
                </c:pt>
                <c:pt idx="2">
                  <c:v>3-Month</c:v>
                </c:pt>
                <c:pt idx="3">
                  <c:v>3-Month</c:v>
                </c:pt>
                <c:pt idx="4">
                  <c:v>6-Month</c:v>
                </c:pt>
                <c:pt idx="5">
                  <c:v>6.5-Month</c:v>
                </c:pt>
                <c:pt idx="6">
                  <c:v>2-Year</c:v>
                </c:pt>
                <c:pt idx="7">
                  <c:v>2-Year</c:v>
                </c:pt>
                <c:pt idx="8">
                  <c:v>2-Year</c:v>
                </c:pt>
                <c:pt idx="9">
                  <c:v>2-Year</c:v>
                </c:pt>
                <c:pt idx="10">
                  <c:v>3-Year</c:v>
                </c:pt>
                <c:pt idx="11">
                  <c:v>3-Year</c:v>
                </c:pt>
                <c:pt idx="12">
                  <c:v>5-Year</c:v>
                </c:pt>
                <c:pt idx="13">
                  <c:v>5-Year</c:v>
                </c:pt>
                <c:pt idx="14">
                  <c:v>5-Year</c:v>
                </c:pt>
                <c:pt idx="15">
                  <c:v>7-Year</c:v>
                </c:pt>
                <c:pt idx="16">
                  <c:v>7-Year</c:v>
                </c:pt>
                <c:pt idx="17">
                  <c:v>10-Year</c:v>
                </c:pt>
                <c:pt idx="18">
                  <c:v>10-Year</c:v>
                </c:pt>
                <c:pt idx="19">
                  <c:v>10-Year</c:v>
                </c:pt>
                <c:pt idx="20">
                  <c:v>10-Year</c:v>
                </c:pt>
                <c:pt idx="21">
                  <c:v>20-Year</c:v>
                </c:pt>
                <c:pt idx="22">
                  <c:v>20-Year</c:v>
                </c:pt>
                <c:pt idx="23">
                  <c:v>30-Year</c:v>
                </c:pt>
                <c:pt idx="24">
                  <c:v>30-Year</c:v>
                </c:pt>
                <c:pt idx="25">
                  <c:v>30-Year</c:v>
                </c:pt>
                <c:pt idx="26">
                  <c:v>30-Year</c:v>
                </c:pt>
              </c:strCache>
            </c:strRef>
          </c:xVal>
          <c:yVal>
            <c:numRef>
              <c:f>'Yield Curve'!$D$2:$D$28</c:f>
              <c:numCache>
                <c:formatCode>0.00%</c:formatCode>
                <c:ptCount val="27"/>
                <c:pt idx="0">
                  <c:v>3.7100000000000001E-2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3.6900000000000002E-2</c:v>
                </c:pt>
                <c:pt idx="4">
                  <c:v>3.6700000000000003E-2</c:v>
                </c:pt>
                <c:pt idx="5">
                  <c:v>3.6700000000000003E-2</c:v>
                </c:pt>
                <c:pt idx="6">
                  <c:v>3.7400000000000003E-2</c:v>
                </c:pt>
                <c:pt idx="7">
                  <c:v>3.7400000000000003E-2</c:v>
                </c:pt>
                <c:pt idx="8">
                  <c:v>3.7400000000000003E-2</c:v>
                </c:pt>
                <c:pt idx="9">
                  <c:v>3.7400000000000003E-2</c:v>
                </c:pt>
                <c:pt idx="10">
                  <c:v>3.7600000000000001E-2</c:v>
                </c:pt>
                <c:pt idx="11">
                  <c:v>3.7600000000000001E-2</c:v>
                </c:pt>
                <c:pt idx="12">
                  <c:v>3.8800000000000001E-2</c:v>
                </c:pt>
                <c:pt idx="13">
                  <c:v>3.8800000000000001E-2</c:v>
                </c:pt>
                <c:pt idx="14">
                  <c:v>3.8800000000000001E-2</c:v>
                </c:pt>
                <c:pt idx="15">
                  <c:v>4.07E-2</c:v>
                </c:pt>
                <c:pt idx="16">
                  <c:v>4.07E-2</c:v>
                </c:pt>
                <c:pt idx="17">
                  <c:v>4.2900000000000001E-2</c:v>
                </c:pt>
                <c:pt idx="18">
                  <c:v>4.2900000000000001E-2</c:v>
                </c:pt>
                <c:pt idx="19">
                  <c:v>4.2900000000000001E-2</c:v>
                </c:pt>
                <c:pt idx="20">
                  <c:v>4.2900000000000001E-2</c:v>
                </c:pt>
                <c:pt idx="21">
                  <c:v>4.6600000000000003E-2</c:v>
                </c:pt>
                <c:pt idx="22">
                  <c:v>4.6600000000000003E-2</c:v>
                </c:pt>
                <c:pt idx="23">
                  <c:v>4.9099999999999998E-2</c:v>
                </c:pt>
                <c:pt idx="24">
                  <c:v>4.9099999999999998E-2</c:v>
                </c:pt>
                <c:pt idx="25">
                  <c:v>4.9099999999999998E-2</c:v>
                </c:pt>
                <c:pt idx="26">
                  <c:v>4.9099999999999998E-2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4-492F-9445-0FA707E64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790656"/>
        <c:axId val="392787296"/>
      </c:scatterChart>
      <c:valAx>
        <c:axId val="39279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Maturity</a:t>
                </a:r>
                <a:r>
                  <a:rPr lang="en-IN" b="1" baseline="0"/>
                  <a:t> Term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87296"/>
        <c:crosses val="autoZero"/>
        <c:crossBetween val="midCat"/>
      </c:valAx>
      <c:valAx>
        <c:axId val="39278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Market</a:t>
                </a:r>
                <a:r>
                  <a:rPr lang="en-IN" b="1" baseline="0"/>
                  <a:t>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90656"/>
        <c:crosses val="autoZero"/>
        <c:crossBetween val="midCat"/>
      </c:valAx>
      <c:spPr>
        <a:solidFill>
          <a:schemeClr val="bg1"/>
        </a:solidFill>
        <a:ln>
          <a:solidFill>
            <a:schemeClr val="accent1">
              <a:alpha val="96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16005</xdr:colOff>
      <xdr:row>1</xdr:row>
      <xdr:rowOff>181170</xdr:rowOff>
    </xdr:from>
    <xdr:to>
      <xdr:col>9</xdr:col>
      <xdr:colOff>191990</xdr:colOff>
      <xdr:row>15</xdr:row>
      <xdr:rowOff>164842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1E90A-A598-EA61-5546-F0AEDFBE1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6586FD-2132-47A2-92C3-0EC2BE6682EB}" name="Table4" displayName="Table4" ref="A1:E28" totalsRowShown="0" headerRowDxfId="5" dataDxfId="4">
  <tableColumns count="5">
    <tableColumn id="1" xr3:uid="{B47494CA-2E6F-4679-A5E7-11660A1094BA}" name="Security ID" dataDxfId="3"/>
    <tableColumn id="2" xr3:uid="{0CF01E9E-8A23-43FA-BF7D-0F18360E5464}" name="Maturity Term"/>
    <tableColumn id="3" xr3:uid="{CDD9DC4B-B89F-453B-A75A-7F84FE79903C}" name="Coupon" dataDxfId="2"/>
    <tableColumn id="4" xr3:uid="{C03D585C-9035-4E35-A589-452C13C08ADF}" name="Market Yield" dataDxfId="1"/>
    <tableColumn id="5" xr3:uid="{D1175410-76A2-4266-BB22-536A97EDD69D}" name="Bond Pri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4BAE-EB8F-4658-A73D-21AF59DB9988}">
  <dimension ref="A1:H37"/>
  <sheetViews>
    <sheetView tabSelected="1" zoomScale="96" zoomScaleNormal="96" workbookViewId="0"/>
  </sheetViews>
  <sheetFormatPr defaultRowHeight="14.5" x14ac:dyDescent="0.35"/>
  <cols>
    <col min="1" max="1" width="12.08984375" customWidth="1"/>
    <col min="2" max="2" width="14.453125" customWidth="1"/>
    <col min="3" max="3" width="9.81640625" customWidth="1"/>
    <col min="4" max="4" width="13.36328125" customWidth="1"/>
    <col min="5" max="5" width="10.26953125" bestFit="1" customWidth="1"/>
    <col min="6" max="6" width="13.7265625" bestFit="1" customWidth="1"/>
    <col min="7" max="7" width="22.1796875" bestFit="1" customWidth="1"/>
    <col min="8" max="8" width="21.54296875" bestFit="1" customWidth="1"/>
    <col min="9" max="9" width="19.1796875" bestFit="1" customWidth="1"/>
  </cols>
  <sheetData>
    <row r="1" spans="1:7" ht="14.5" customHeight="1" x14ac:dyDescent="0.35">
      <c r="A1" s="1" t="s">
        <v>0</v>
      </c>
      <c r="B1" s="10" t="s">
        <v>1</v>
      </c>
      <c r="C1" s="1" t="s">
        <v>2</v>
      </c>
      <c r="D1" s="1" t="s">
        <v>3</v>
      </c>
      <c r="E1" s="5" t="s">
        <v>4</v>
      </c>
      <c r="F1" s="1"/>
      <c r="G1" s="1"/>
    </row>
    <row r="2" spans="1:7" ht="14.5" customHeight="1" x14ac:dyDescent="0.35">
      <c r="A2" s="2" t="s">
        <v>6</v>
      </c>
      <c r="B2" t="s">
        <v>7</v>
      </c>
      <c r="C2" s="3">
        <v>0</v>
      </c>
      <c r="D2" s="3">
        <v>3.7100000000000001E-2</v>
      </c>
      <c r="E2" s="8">
        <v>99.69</v>
      </c>
      <c r="F2" s="2"/>
    </row>
    <row r="3" spans="1:7" ht="14.5" customHeight="1" x14ac:dyDescent="0.35">
      <c r="A3" s="2" t="s">
        <v>36</v>
      </c>
      <c r="B3" t="s">
        <v>45</v>
      </c>
      <c r="C3" s="3">
        <v>0</v>
      </c>
      <c r="D3" s="3">
        <v>3.6999999999999998E-2</v>
      </c>
      <c r="E3" s="8">
        <v>99.43</v>
      </c>
      <c r="F3" s="2"/>
    </row>
    <row r="4" spans="1:7" ht="14.5" customHeight="1" x14ac:dyDescent="0.35">
      <c r="A4" s="2" t="s">
        <v>9</v>
      </c>
      <c r="B4" t="s">
        <v>10</v>
      </c>
      <c r="C4" s="3">
        <v>0</v>
      </c>
      <c r="D4" s="3">
        <v>3.6999999999999998E-2</v>
      </c>
      <c r="E4" s="8">
        <v>99.08</v>
      </c>
      <c r="F4" s="2"/>
    </row>
    <row r="5" spans="1:7" ht="14.5" customHeight="1" x14ac:dyDescent="0.35">
      <c r="A5" s="2" t="s">
        <v>38</v>
      </c>
      <c r="B5" t="s">
        <v>10</v>
      </c>
      <c r="C5" s="3">
        <v>0</v>
      </c>
      <c r="D5" s="3">
        <v>3.6900000000000002E-2</v>
      </c>
      <c r="E5" s="8">
        <v>99.08</v>
      </c>
      <c r="F5" s="2"/>
    </row>
    <row r="6" spans="1:7" ht="14.5" customHeight="1" x14ac:dyDescent="0.35">
      <c r="A6" s="2" t="s">
        <v>11</v>
      </c>
      <c r="B6" t="s">
        <v>12</v>
      </c>
      <c r="C6" s="3">
        <v>0</v>
      </c>
      <c r="D6" s="3">
        <v>3.6700000000000003E-2</v>
      </c>
      <c r="E6" s="8">
        <v>98.18</v>
      </c>
      <c r="F6" s="2"/>
    </row>
    <row r="7" spans="1:7" ht="14.5" customHeight="1" x14ac:dyDescent="0.35">
      <c r="A7" s="2" t="s">
        <v>40</v>
      </c>
      <c r="B7" t="s">
        <v>46</v>
      </c>
      <c r="C7" s="3">
        <v>0</v>
      </c>
      <c r="D7" s="3">
        <v>3.6700000000000003E-2</v>
      </c>
      <c r="E7" s="8">
        <v>98.18</v>
      </c>
      <c r="F7" s="2"/>
    </row>
    <row r="8" spans="1:7" ht="14.5" customHeight="1" x14ac:dyDescent="0.35">
      <c r="A8" s="2" t="s">
        <v>13</v>
      </c>
      <c r="B8" t="s">
        <v>14</v>
      </c>
      <c r="C8" s="3">
        <v>3.3750000000000002E-2</v>
      </c>
      <c r="D8" s="3">
        <v>3.7400000000000003E-2</v>
      </c>
      <c r="E8" s="8">
        <v>99.32</v>
      </c>
      <c r="F8" s="2"/>
    </row>
    <row r="9" spans="1:7" ht="14.5" customHeight="1" x14ac:dyDescent="0.35">
      <c r="A9" s="2" t="s">
        <v>30</v>
      </c>
      <c r="B9" t="s">
        <v>14</v>
      </c>
      <c r="C9" s="3">
        <v>3.3750000000000002E-2</v>
      </c>
      <c r="D9" s="3">
        <v>3.7400000000000003E-2</v>
      </c>
      <c r="E9" s="8">
        <v>99.32</v>
      </c>
      <c r="F9" s="2"/>
    </row>
    <row r="10" spans="1:7" ht="14.5" customHeight="1" x14ac:dyDescent="0.35">
      <c r="A10" s="2" t="s">
        <v>42</v>
      </c>
      <c r="B10" t="s">
        <v>14</v>
      </c>
      <c r="C10" s="3">
        <v>3.3750000000000002E-2</v>
      </c>
      <c r="D10" s="3">
        <v>3.7400000000000003E-2</v>
      </c>
      <c r="E10" s="8">
        <v>99.32</v>
      </c>
      <c r="F10" s="2"/>
    </row>
    <row r="11" spans="1:7" ht="14.5" customHeight="1" x14ac:dyDescent="0.35">
      <c r="A11" s="2" t="s">
        <v>55</v>
      </c>
      <c r="B11" t="s">
        <v>14</v>
      </c>
      <c r="C11" s="3">
        <v>3.3750000000000002E-2</v>
      </c>
      <c r="D11" s="3">
        <v>3.7400000000000003E-2</v>
      </c>
      <c r="E11" s="8">
        <v>99.32</v>
      </c>
      <c r="F11" s="2"/>
    </row>
    <row r="12" spans="1:7" ht="14.5" customHeight="1" x14ac:dyDescent="0.35">
      <c r="A12" s="2" t="s">
        <v>16</v>
      </c>
      <c r="B12" t="s">
        <v>17</v>
      </c>
      <c r="C12" s="3">
        <v>3.5000000000000003E-2</v>
      </c>
      <c r="D12" s="3">
        <v>3.7600000000000001E-2</v>
      </c>
      <c r="E12" s="8">
        <v>99.28</v>
      </c>
      <c r="F12" s="2"/>
    </row>
    <row r="13" spans="1:7" ht="14.5" customHeight="1" x14ac:dyDescent="0.35">
      <c r="A13" s="2" t="s">
        <v>43</v>
      </c>
      <c r="B13" t="s">
        <v>17</v>
      </c>
      <c r="C13" s="3">
        <v>3.5000000000000003E-2</v>
      </c>
      <c r="D13" s="3">
        <v>3.7600000000000001E-2</v>
      </c>
      <c r="E13" s="8">
        <v>99.28</v>
      </c>
      <c r="F13" s="2"/>
    </row>
    <row r="14" spans="1:7" ht="14.5" customHeight="1" x14ac:dyDescent="0.35">
      <c r="A14" s="2" t="s">
        <v>18</v>
      </c>
      <c r="B14" t="s">
        <v>19</v>
      </c>
      <c r="C14" s="3">
        <v>3.5000000000000003E-2</v>
      </c>
      <c r="D14" s="3">
        <v>3.8800000000000001E-2</v>
      </c>
      <c r="E14" s="8">
        <v>98.29</v>
      </c>
      <c r="F14" s="2"/>
    </row>
    <row r="15" spans="1:7" ht="14.5" customHeight="1" x14ac:dyDescent="0.35">
      <c r="A15" s="2" t="s">
        <v>31</v>
      </c>
      <c r="B15" t="s">
        <v>19</v>
      </c>
      <c r="C15" s="3">
        <v>3.5000000000000003E-2</v>
      </c>
      <c r="D15" s="3">
        <v>3.8800000000000001E-2</v>
      </c>
      <c r="E15" s="8">
        <v>98.29</v>
      </c>
      <c r="F15" s="2"/>
    </row>
    <row r="16" spans="1:7" ht="14.5" customHeight="1" x14ac:dyDescent="0.35">
      <c r="A16" s="2" t="s">
        <v>54</v>
      </c>
      <c r="B16" t="s">
        <v>19</v>
      </c>
      <c r="C16" s="3">
        <v>3.5000000000000003E-2</v>
      </c>
      <c r="D16" s="3">
        <v>3.8800000000000001E-2</v>
      </c>
      <c r="E16" s="8">
        <v>98.29</v>
      </c>
      <c r="F16" s="2"/>
    </row>
    <row r="17" spans="1:8" ht="14.5" customHeight="1" x14ac:dyDescent="0.35">
      <c r="A17" s="2" t="s">
        <v>21</v>
      </c>
      <c r="B17" t="s">
        <v>22</v>
      </c>
      <c r="C17" s="3">
        <v>3.7499999999999999E-2</v>
      </c>
      <c r="D17" s="3">
        <v>4.07E-2</v>
      </c>
      <c r="E17" s="8">
        <v>98.1</v>
      </c>
      <c r="F17" s="2"/>
    </row>
    <row r="18" spans="1:8" ht="14.5" customHeight="1" x14ac:dyDescent="0.35">
      <c r="A18" s="2" t="s">
        <v>48</v>
      </c>
      <c r="B18" t="s">
        <v>22</v>
      </c>
      <c r="C18" s="3">
        <v>3.7499999999999999E-2</v>
      </c>
      <c r="D18" s="3">
        <v>4.07E-2</v>
      </c>
      <c r="E18" s="8">
        <v>98.1</v>
      </c>
      <c r="F18" s="2"/>
    </row>
    <row r="19" spans="1:8" ht="14.5" customHeight="1" x14ac:dyDescent="0.35">
      <c r="A19" s="2" t="s">
        <v>23</v>
      </c>
      <c r="B19" t="s">
        <v>24</v>
      </c>
      <c r="C19" s="3">
        <v>4.1250000000000002E-2</v>
      </c>
      <c r="D19" s="3">
        <v>4.2900000000000001E-2</v>
      </c>
      <c r="E19" s="8">
        <v>98.65</v>
      </c>
      <c r="F19" s="2"/>
    </row>
    <row r="20" spans="1:8" ht="14.5" customHeight="1" x14ac:dyDescent="0.35">
      <c r="A20" s="2" t="s">
        <v>32</v>
      </c>
      <c r="B20" t="s">
        <v>24</v>
      </c>
      <c r="C20" s="3">
        <v>4.1250000000000002E-2</v>
      </c>
      <c r="D20" s="3">
        <v>4.2900000000000001E-2</v>
      </c>
      <c r="E20" s="8">
        <v>98.65</v>
      </c>
      <c r="F20" s="2"/>
    </row>
    <row r="21" spans="1:8" ht="14.5" customHeight="1" x14ac:dyDescent="0.35">
      <c r="A21" s="2" t="s">
        <v>49</v>
      </c>
      <c r="B21" t="s">
        <v>24</v>
      </c>
      <c r="C21" s="3">
        <v>4.1250000000000002E-2</v>
      </c>
      <c r="D21" s="3">
        <v>4.2900000000000001E-2</v>
      </c>
      <c r="E21" s="8">
        <v>98.65</v>
      </c>
      <c r="F21" s="2"/>
    </row>
    <row r="22" spans="1:8" ht="14.5" customHeight="1" x14ac:dyDescent="0.35">
      <c r="A22" s="2" t="s">
        <v>52</v>
      </c>
      <c r="B22" t="s">
        <v>24</v>
      </c>
      <c r="C22" s="3">
        <v>4.1250000000000002E-2</v>
      </c>
      <c r="D22" s="3">
        <v>4.2900000000000001E-2</v>
      </c>
      <c r="E22" s="8">
        <v>98.65</v>
      </c>
      <c r="F22" s="2"/>
    </row>
    <row r="23" spans="1:8" ht="14.5" customHeight="1" x14ac:dyDescent="0.35">
      <c r="A23" s="2" t="s">
        <v>25</v>
      </c>
      <c r="B23" t="s">
        <v>26</v>
      </c>
      <c r="C23" s="3">
        <v>4.6249999999999999E-2</v>
      </c>
      <c r="D23" s="3">
        <v>4.6600000000000003E-2</v>
      </c>
      <c r="E23" s="8">
        <v>99.55</v>
      </c>
      <c r="F23" s="2"/>
    </row>
    <row r="24" spans="1:8" ht="14.5" customHeight="1" x14ac:dyDescent="0.35">
      <c r="A24" s="2" t="s">
        <v>50</v>
      </c>
      <c r="B24" t="s">
        <v>26</v>
      </c>
      <c r="C24" s="3">
        <v>4.6249999999999999E-2</v>
      </c>
      <c r="D24" s="3">
        <v>4.6600000000000003E-2</v>
      </c>
      <c r="E24" s="8">
        <v>99.55</v>
      </c>
      <c r="F24" s="2"/>
    </row>
    <row r="25" spans="1:8" ht="14.5" customHeight="1" x14ac:dyDescent="0.35">
      <c r="A25" s="2" t="s">
        <v>27</v>
      </c>
      <c r="B25" t="s">
        <v>28</v>
      </c>
      <c r="C25" s="3">
        <v>4.7500000000000001E-2</v>
      </c>
      <c r="D25" s="3">
        <v>4.9099999999999998E-2</v>
      </c>
      <c r="E25" s="8">
        <v>97.52</v>
      </c>
      <c r="F25" s="2"/>
    </row>
    <row r="26" spans="1:8" ht="14.5" customHeight="1" x14ac:dyDescent="0.35">
      <c r="A26" s="2" t="s">
        <v>33</v>
      </c>
      <c r="B26" t="s">
        <v>28</v>
      </c>
      <c r="C26" s="3">
        <v>4.7500000000000001E-2</v>
      </c>
      <c r="D26" s="3">
        <v>4.9099999999999998E-2</v>
      </c>
      <c r="E26" s="8">
        <v>97.52</v>
      </c>
      <c r="F26" s="2"/>
    </row>
    <row r="27" spans="1:8" ht="14.5" customHeight="1" x14ac:dyDescent="0.35">
      <c r="A27" s="2" t="s">
        <v>51</v>
      </c>
      <c r="B27" t="s">
        <v>28</v>
      </c>
      <c r="C27" s="3">
        <v>4.7500000000000001E-2</v>
      </c>
      <c r="D27" s="3">
        <v>4.9099999999999998E-2</v>
      </c>
      <c r="E27" s="8">
        <v>97.52</v>
      </c>
      <c r="F27" s="2"/>
    </row>
    <row r="28" spans="1:8" ht="14.5" customHeight="1" x14ac:dyDescent="0.35">
      <c r="A28" s="2" t="s">
        <v>56</v>
      </c>
      <c r="B28" t="s">
        <v>28</v>
      </c>
      <c r="C28" s="3">
        <v>4.7500000000000001E-2</v>
      </c>
      <c r="D28" s="3">
        <v>4.9099999999999998E-2</v>
      </c>
      <c r="E28" s="8">
        <v>97.52</v>
      </c>
      <c r="F28" s="2"/>
    </row>
    <row r="30" spans="1:8" x14ac:dyDescent="0.35">
      <c r="A30" s="9"/>
    </row>
    <row r="31" spans="1:8" x14ac:dyDescent="0.35">
      <c r="A31" s="9"/>
    </row>
    <row r="32" spans="1:8" ht="14.5" customHeight="1" x14ac:dyDescent="0.35">
      <c r="A32" s="1"/>
      <c r="B32" s="1"/>
      <c r="C32" s="1"/>
      <c r="D32" s="1"/>
      <c r="E32" s="1"/>
      <c r="F32" s="1"/>
      <c r="G32" s="1"/>
      <c r="H32" s="1"/>
    </row>
    <row r="33" spans="1:8" x14ac:dyDescent="0.35">
      <c r="A33" s="2"/>
      <c r="B33" s="2"/>
      <c r="C33" s="2"/>
      <c r="D33" s="3"/>
      <c r="E33" s="3"/>
      <c r="F33" s="2"/>
      <c r="G33" s="2"/>
      <c r="H33" s="3"/>
    </row>
    <row r="34" spans="1:8" x14ac:dyDescent="0.35">
      <c r="A34" s="2"/>
      <c r="B34" s="2"/>
      <c r="C34" s="2"/>
      <c r="D34" s="3"/>
      <c r="E34" s="3"/>
      <c r="F34" s="2"/>
      <c r="G34" s="2"/>
      <c r="H34" s="3"/>
    </row>
    <row r="35" spans="1:8" x14ac:dyDescent="0.35">
      <c r="A35" s="2"/>
      <c r="B35" s="2"/>
      <c r="C35" s="2"/>
      <c r="D35" s="3"/>
      <c r="E35" s="3"/>
      <c r="F35" s="2"/>
      <c r="G35" s="2"/>
      <c r="H35" s="3"/>
    </row>
    <row r="36" spans="1:8" x14ac:dyDescent="0.35">
      <c r="A36" s="2"/>
      <c r="B36" s="2"/>
      <c r="C36" s="2"/>
      <c r="D36" s="3"/>
      <c r="E36" s="3"/>
      <c r="F36" s="2"/>
      <c r="G36" s="2"/>
      <c r="H36" s="3"/>
    </row>
    <row r="37" spans="1:8" x14ac:dyDescent="0.35">
      <c r="A37" s="2"/>
      <c r="B37" s="2"/>
      <c r="C37" s="2"/>
      <c r="D37" s="3"/>
      <c r="E37" s="3"/>
      <c r="F37" s="2"/>
      <c r="G37" s="2"/>
      <c r="H37" s="3"/>
    </row>
  </sheetData>
  <conditionalFormatting sqref="F2:F28">
    <cfRule type="colorScale" priority="9">
      <colorScale>
        <cfvo type="min"/>
        <cfvo type="max"/>
        <color rgb="FFFF7128"/>
        <color rgb="FFFFEF9C"/>
      </colorScale>
    </cfRule>
    <cfRule type="colorScale" priority="10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BD7E-EC68-4344-B43D-402CF3847D8A}">
  <dimension ref="A1:H36"/>
  <sheetViews>
    <sheetView zoomScale="99" zoomScaleNormal="99" workbookViewId="0">
      <selection activeCell="I9" sqref="I9"/>
    </sheetView>
  </sheetViews>
  <sheetFormatPr defaultRowHeight="14.5" x14ac:dyDescent="0.35"/>
  <cols>
    <col min="1" max="1" width="13.36328125" bestFit="1" customWidth="1"/>
    <col min="2" max="2" width="16.7265625" bestFit="1" customWidth="1"/>
    <col min="3" max="3" width="9.7265625" bestFit="1" customWidth="1"/>
    <col min="4" max="4" width="15.08984375" bestFit="1" customWidth="1"/>
    <col min="5" max="5" width="13.36328125" bestFit="1" customWidth="1"/>
    <col min="6" max="6" width="8.6328125" bestFit="1" customWidth="1"/>
  </cols>
  <sheetData>
    <row r="1" spans="1:8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4.5" customHeight="1" x14ac:dyDescent="0.35">
      <c r="A2" s="2" t="s">
        <v>6</v>
      </c>
      <c r="B2" s="2" t="s">
        <v>7</v>
      </c>
      <c r="C2" s="3">
        <v>0</v>
      </c>
      <c r="D2" s="3">
        <v>3.7100000000000001E-2</v>
      </c>
      <c r="E2" s="2">
        <v>99.69</v>
      </c>
      <c r="F2" s="2" t="s">
        <v>8</v>
      </c>
    </row>
    <row r="3" spans="1:8" ht="14.5" customHeight="1" x14ac:dyDescent="0.35">
      <c r="A3" s="2" t="s">
        <v>9</v>
      </c>
      <c r="B3" s="2" t="s">
        <v>10</v>
      </c>
      <c r="C3" s="3">
        <v>0</v>
      </c>
      <c r="D3" s="3">
        <v>3.6999999999999998E-2</v>
      </c>
      <c r="E3" s="2">
        <v>99.08</v>
      </c>
      <c r="F3" s="2" t="s">
        <v>8</v>
      </c>
    </row>
    <row r="4" spans="1:8" ht="14.5" customHeight="1" x14ac:dyDescent="0.35">
      <c r="A4" s="2" t="s">
        <v>11</v>
      </c>
      <c r="B4" s="2" t="s">
        <v>12</v>
      </c>
      <c r="C4" s="3">
        <v>0</v>
      </c>
      <c r="D4" s="3">
        <v>3.6700000000000003E-2</v>
      </c>
      <c r="E4" s="2">
        <v>98.18</v>
      </c>
      <c r="F4" s="2" t="s">
        <v>8</v>
      </c>
      <c r="H4" s="7"/>
    </row>
    <row r="5" spans="1:8" ht="14.5" customHeight="1" x14ac:dyDescent="0.35">
      <c r="A5" s="2" t="s">
        <v>13</v>
      </c>
      <c r="B5" s="2" t="s">
        <v>14</v>
      </c>
      <c r="C5" s="3">
        <v>3.3750000000000002E-2</v>
      </c>
      <c r="D5" s="3">
        <v>3.7400000000000003E-2</v>
      </c>
      <c r="E5" s="2">
        <v>99.32</v>
      </c>
      <c r="F5" s="2" t="s">
        <v>8</v>
      </c>
      <c r="H5" s="9"/>
    </row>
    <row r="6" spans="1:8" ht="14.5" customHeight="1" x14ac:dyDescent="0.35">
      <c r="A6" s="2" t="s">
        <v>15</v>
      </c>
      <c r="B6" s="2" t="s">
        <v>14</v>
      </c>
      <c r="C6" s="3">
        <v>3.5000000000000003E-2</v>
      </c>
      <c r="D6" s="3">
        <v>2.1000000000000001E-2</v>
      </c>
      <c r="E6" s="2">
        <v>102.65</v>
      </c>
      <c r="F6" s="2" t="s">
        <v>8</v>
      </c>
    </row>
    <row r="7" spans="1:8" ht="14.5" customHeight="1" x14ac:dyDescent="0.35">
      <c r="A7" s="2" t="s">
        <v>16</v>
      </c>
      <c r="B7" s="2" t="s">
        <v>17</v>
      </c>
      <c r="C7" s="3">
        <v>3.5000000000000003E-2</v>
      </c>
      <c r="D7" s="3">
        <v>3.7600000000000001E-2</v>
      </c>
      <c r="E7" s="2">
        <v>99.28</v>
      </c>
      <c r="F7" s="2" t="s">
        <v>8</v>
      </c>
    </row>
    <row r="8" spans="1:8" ht="14.5" customHeight="1" x14ac:dyDescent="0.35">
      <c r="A8" s="2" t="s">
        <v>18</v>
      </c>
      <c r="B8" s="2" t="s">
        <v>19</v>
      </c>
      <c r="C8" s="3">
        <v>3.5000000000000003E-2</v>
      </c>
      <c r="D8" s="3">
        <v>3.8800000000000001E-2</v>
      </c>
      <c r="E8" s="2">
        <v>98.29</v>
      </c>
      <c r="F8" s="2" t="s">
        <v>8</v>
      </c>
      <c r="H8" s="12" t="s">
        <v>62</v>
      </c>
    </row>
    <row r="9" spans="1:8" ht="14.5" customHeight="1" x14ac:dyDescent="0.35">
      <c r="A9" s="2" t="s">
        <v>20</v>
      </c>
      <c r="B9" s="2" t="s">
        <v>19</v>
      </c>
      <c r="C9" s="3">
        <v>4.2500000000000003E-2</v>
      </c>
      <c r="D9" s="3">
        <v>3.8800000000000001E-2</v>
      </c>
      <c r="E9" s="2">
        <v>85.4</v>
      </c>
      <c r="F9" s="2" t="s">
        <v>8</v>
      </c>
    </row>
    <row r="10" spans="1:8" ht="14.5" customHeight="1" x14ac:dyDescent="0.35">
      <c r="A10" s="2" t="s">
        <v>21</v>
      </c>
      <c r="B10" s="2" t="s">
        <v>22</v>
      </c>
      <c r="C10" s="3">
        <v>3.7499999999999999E-2</v>
      </c>
      <c r="D10" s="3">
        <v>4.07E-2</v>
      </c>
      <c r="E10" s="2">
        <v>98.1</v>
      </c>
      <c r="F10" s="2" t="s">
        <v>8</v>
      </c>
    </row>
    <row r="11" spans="1:8" ht="14.5" customHeight="1" x14ac:dyDescent="0.35">
      <c r="A11" s="2" t="s">
        <v>23</v>
      </c>
      <c r="B11" s="2" t="s">
        <v>24</v>
      </c>
      <c r="C11" s="3">
        <v>4.1250000000000002E-2</v>
      </c>
      <c r="D11" s="3">
        <v>4.2900000000000001E-2</v>
      </c>
      <c r="E11" s="2">
        <v>98.65</v>
      </c>
      <c r="F11" s="2" t="s">
        <v>8</v>
      </c>
    </row>
    <row r="12" spans="1:8" ht="14.5" customHeight="1" x14ac:dyDescent="0.35">
      <c r="A12" s="2" t="s">
        <v>25</v>
      </c>
      <c r="B12" s="2" t="s">
        <v>26</v>
      </c>
      <c r="C12" s="3">
        <v>4.6249999999999999E-2</v>
      </c>
      <c r="D12" s="3">
        <v>4.6600000000000003E-2</v>
      </c>
      <c r="E12" s="2">
        <v>99.55</v>
      </c>
      <c r="F12" s="2" t="s">
        <v>8</v>
      </c>
    </row>
    <row r="13" spans="1:8" ht="14.5" customHeight="1" x14ac:dyDescent="0.35">
      <c r="A13" s="2" t="s">
        <v>27</v>
      </c>
      <c r="B13" s="2" t="s">
        <v>28</v>
      </c>
      <c r="C13" s="3">
        <v>4.7500000000000001E-2</v>
      </c>
      <c r="D13" s="3">
        <v>4.9099999999999998E-2</v>
      </c>
      <c r="E13" s="2">
        <v>97.52</v>
      </c>
      <c r="F13" s="2" t="s">
        <v>8</v>
      </c>
    </row>
    <row r="14" spans="1:8" ht="14.5" customHeight="1" x14ac:dyDescent="0.35">
      <c r="A14" s="2" t="s">
        <v>29</v>
      </c>
      <c r="B14" s="2" t="s">
        <v>28</v>
      </c>
      <c r="C14" s="3">
        <v>4.7500000000000001E-2</v>
      </c>
      <c r="D14" s="3">
        <v>1.4999999999999999E-2</v>
      </c>
      <c r="E14" s="2">
        <v>110.2</v>
      </c>
      <c r="F14" s="2" t="s">
        <v>8</v>
      </c>
    </row>
    <row r="15" spans="1:8" ht="14.5" customHeight="1" x14ac:dyDescent="0.35">
      <c r="A15" s="2" t="s">
        <v>30</v>
      </c>
      <c r="B15" s="2" t="s">
        <v>14</v>
      </c>
      <c r="C15" s="3">
        <v>3.3750000000000002E-2</v>
      </c>
      <c r="D15" s="3">
        <v>3.7400000000000003E-2</v>
      </c>
      <c r="E15" s="2">
        <v>99.32</v>
      </c>
      <c r="F15" s="2" t="s">
        <v>8</v>
      </c>
    </row>
    <row r="16" spans="1:8" ht="14.5" customHeight="1" x14ac:dyDescent="0.35">
      <c r="A16" s="2" t="s">
        <v>31</v>
      </c>
      <c r="B16" s="2" t="s">
        <v>19</v>
      </c>
      <c r="C16" s="3">
        <v>3.5000000000000003E-2</v>
      </c>
      <c r="D16" s="3">
        <v>3.8800000000000001E-2</v>
      </c>
      <c r="E16" s="2">
        <v>98.29</v>
      </c>
      <c r="F16" s="2" t="s">
        <v>8</v>
      </c>
    </row>
    <row r="17" spans="1:6" ht="14.5" customHeight="1" x14ac:dyDescent="0.35">
      <c r="A17" s="2" t="s">
        <v>32</v>
      </c>
      <c r="B17" s="2" t="s">
        <v>24</v>
      </c>
      <c r="C17" s="3">
        <v>4.1250000000000002E-2</v>
      </c>
      <c r="D17" s="3">
        <v>4.2900000000000001E-2</v>
      </c>
      <c r="E17" s="2">
        <v>98.65</v>
      </c>
      <c r="F17" s="2" t="s">
        <v>8</v>
      </c>
    </row>
    <row r="18" spans="1:6" ht="14.5" customHeight="1" x14ac:dyDescent="0.35">
      <c r="A18" s="2" t="s">
        <v>33</v>
      </c>
      <c r="B18" s="2" t="s">
        <v>28</v>
      </c>
      <c r="C18" s="3">
        <v>4.7500000000000001E-2</v>
      </c>
      <c r="D18" s="3">
        <v>4.9099999999999998E-2</v>
      </c>
      <c r="E18" s="2">
        <v>97.52</v>
      </c>
      <c r="F18" s="2" t="s">
        <v>8</v>
      </c>
    </row>
    <row r="19" spans="1:6" ht="14.5" customHeight="1" x14ac:dyDescent="0.35">
      <c r="A19" s="2" t="s">
        <v>34</v>
      </c>
      <c r="B19" s="2" t="s">
        <v>35</v>
      </c>
      <c r="C19" s="3">
        <v>0</v>
      </c>
      <c r="D19" s="3">
        <v>3.7100000000000001E-2</v>
      </c>
      <c r="E19" s="2">
        <v>105</v>
      </c>
      <c r="F19" s="2" t="s">
        <v>8</v>
      </c>
    </row>
    <row r="20" spans="1:6" ht="14.5" customHeight="1" x14ac:dyDescent="0.35">
      <c r="A20" s="2" t="s">
        <v>36</v>
      </c>
      <c r="B20" s="2" t="s">
        <v>37</v>
      </c>
      <c r="C20" s="3">
        <v>0</v>
      </c>
      <c r="D20" s="3">
        <v>3.6999999999999998E-2</v>
      </c>
      <c r="E20" s="2">
        <v>99.43</v>
      </c>
      <c r="F20" s="2" t="s">
        <v>8</v>
      </c>
    </row>
    <row r="21" spans="1:6" ht="14.5" customHeight="1" x14ac:dyDescent="0.35">
      <c r="A21" s="2" t="s">
        <v>38</v>
      </c>
      <c r="B21" s="2" t="s">
        <v>39</v>
      </c>
      <c r="C21" s="3">
        <v>0</v>
      </c>
      <c r="D21" s="3">
        <v>3.6900000000000002E-2</v>
      </c>
      <c r="E21" s="2">
        <v>99.08</v>
      </c>
      <c r="F21" s="2" t="s">
        <v>8</v>
      </c>
    </row>
    <row r="22" spans="1:6" ht="14.5" customHeight="1" x14ac:dyDescent="0.35">
      <c r="A22" s="2" t="s">
        <v>40</v>
      </c>
      <c r="B22" s="2" t="s">
        <v>41</v>
      </c>
      <c r="C22" s="3">
        <v>0</v>
      </c>
      <c r="D22" s="3">
        <v>3.6700000000000003E-2</v>
      </c>
      <c r="E22" s="2">
        <v>98.18</v>
      </c>
      <c r="F22" s="2" t="s">
        <v>8</v>
      </c>
    </row>
    <row r="23" spans="1:6" ht="14.5" customHeight="1" x14ac:dyDescent="0.35">
      <c r="A23" s="2" t="s">
        <v>42</v>
      </c>
      <c r="B23" s="2" t="s">
        <v>14</v>
      </c>
      <c r="C23" s="3">
        <v>3.3750000000000002E-2</v>
      </c>
      <c r="D23" s="3">
        <v>3.7400000000000003E-2</v>
      </c>
      <c r="E23" s="2">
        <v>99.32</v>
      </c>
      <c r="F23" s="2" t="s">
        <v>8</v>
      </c>
    </row>
    <row r="24" spans="1:6" ht="14.5" customHeight="1" x14ac:dyDescent="0.35">
      <c r="A24" s="2" t="s">
        <v>43</v>
      </c>
      <c r="B24" s="2" t="s">
        <v>17</v>
      </c>
      <c r="C24" s="3">
        <v>3.5000000000000003E-2</v>
      </c>
      <c r="D24" s="3">
        <v>3.7600000000000001E-2</v>
      </c>
      <c r="E24" s="2">
        <v>99.28</v>
      </c>
      <c r="F24" s="2" t="s">
        <v>8</v>
      </c>
    </row>
    <row r="25" spans="1:6" x14ac:dyDescent="0.35">
      <c r="A25" s="2" t="s">
        <v>47</v>
      </c>
      <c r="B25" s="2" t="s">
        <v>19</v>
      </c>
      <c r="C25" s="3">
        <v>3.5000000000000003E-2</v>
      </c>
      <c r="D25" s="3">
        <v>8.5000000000000006E-2</v>
      </c>
      <c r="E25" s="2">
        <v>75.2</v>
      </c>
      <c r="F25" s="2" t="s">
        <v>8</v>
      </c>
    </row>
    <row r="26" spans="1:6" x14ac:dyDescent="0.35">
      <c r="A26" s="2" t="s">
        <v>48</v>
      </c>
      <c r="B26" s="2" t="s">
        <v>22</v>
      </c>
      <c r="C26" s="3">
        <v>3.7499999999999999E-2</v>
      </c>
      <c r="D26" s="3">
        <v>4.07E-2</v>
      </c>
      <c r="E26" s="2">
        <v>98.1</v>
      </c>
      <c r="F26" s="2" t="s">
        <v>8</v>
      </c>
    </row>
    <row r="27" spans="1:6" x14ac:dyDescent="0.35">
      <c r="A27" s="2" t="s">
        <v>49</v>
      </c>
      <c r="B27" s="2" t="s">
        <v>24</v>
      </c>
      <c r="C27" s="3">
        <v>4.1250000000000002E-2</v>
      </c>
      <c r="D27" s="3">
        <v>4.2900000000000001E-2</v>
      </c>
      <c r="E27" s="2">
        <v>98.65</v>
      </c>
      <c r="F27" s="2" t="s">
        <v>8</v>
      </c>
    </row>
    <row r="28" spans="1:6" x14ac:dyDescent="0.35">
      <c r="A28" s="2" t="s">
        <v>50</v>
      </c>
      <c r="B28" s="2" t="s">
        <v>26</v>
      </c>
      <c r="C28" s="3">
        <v>4.6249999999999999E-2</v>
      </c>
      <c r="D28" s="3">
        <v>4.6600000000000003E-2</v>
      </c>
      <c r="E28" s="2">
        <v>99.55</v>
      </c>
      <c r="F28" s="2" t="s">
        <v>8</v>
      </c>
    </row>
    <row r="29" spans="1:6" x14ac:dyDescent="0.35">
      <c r="A29" s="2" t="s">
        <v>51</v>
      </c>
      <c r="B29" s="2" t="s">
        <v>28</v>
      </c>
      <c r="C29" s="3">
        <v>4.7500000000000001E-2</v>
      </c>
      <c r="D29" s="3">
        <v>4.9099999999999998E-2</v>
      </c>
      <c r="E29" s="2">
        <v>97.52</v>
      </c>
      <c r="F29" s="2" t="s">
        <v>8</v>
      </c>
    </row>
    <row r="30" spans="1:6" x14ac:dyDescent="0.35">
      <c r="A30" s="2" t="s">
        <v>52</v>
      </c>
      <c r="B30" s="2" t="s">
        <v>24</v>
      </c>
      <c r="C30" s="3">
        <v>4.1250000000000002E-2</v>
      </c>
      <c r="D30" s="3">
        <v>4.2900000000000001E-2</v>
      </c>
      <c r="E30" s="2">
        <v>98.65</v>
      </c>
      <c r="F30" s="2" t="s">
        <v>8</v>
      </c>
    </row>
    <row r="31" spans="1:6" x14ac:dyDescent="0.35">
      <c r="A31" s="2" t="s">
        <v>53</v>
      </c>
      <c r="B31" s="2" t="s">
        <v>24</v>
      </c>
      <c r="C31" s="3">
        <v>0</v>
      </c>
      <c r="D31" s="3">
        <v>4.2900000000000001E-2</v>
      </c>
      <c r="E31" s="2">
        <v>98.65</v>
      </c>
      <c r="F31" s="2" t="s">
        <v>8</v>
      </c>
    </row>
    <row r="32" spans="1:6" x14ac:dyDescent="0.35">
      <c r="A32" s="2" t="s">
        <v>54</v>
      </c>
      <c r="B32" s="2" t="s">
        <v>19</v>
      </c>
      <c r="C32" s="3">
        <v>3.5000000000000003E-2</v>
      </c>
      <c r="D32" s="3">
        <v>3.8800000000000001E-2</v>
      </c>
      <c r="E32" s="2">
        <v>98.29</v>
      </c>
      <c r="F32" s="2" t="s">
        <v>8</v>
      </c>
    </row>
    <row r="33" spans="1:6" x14ac:dyDescent="0.35">
      <c r="A33" s="2" t="s">
        <v>55</v>
      </c>
      <c r="B33" s="2" t="s">
        <v>14</v>
      </c>
      <c r="C33" s="3">
        <v>3.3750000000000002E-2</v>
      </c>
      <c r="D33" s="3">
        <v>3.7400000000000003E-2</v>
      </c>
      <c r="E33" s="2">
        <v>99.32</v>
      </c>
      <c r="F33" s="2" t="s">
        <v>8</v>
      </c>
    </row>
    <row r="34" spans="1:6" x14ac:dyDescent="0.35">
      <c r="A34" s="2" t="s">
        <v>56</v>
      </c>
      <c r="B34" s="2" t="s">
        <v>28</v>
      </c>
      <c r="C34" s="3">
        <v>4.7500000000000001E-2</v>
      </c>
      <c r="D34" s="3">
        <v>4.9099999999999998E-2</v>
      </c>
      <c r="E34" s="2">
        <v>97.52</v>
      </c>
      <c r="F34" s="2" t="s">
        <v>8</v>
      </c>
    </row>
    <row r="35" spans="1:6" x14ac:dyDescent="0.35">
      <c r="A35" s="2" t="s">
        <v>57</v>
      </c>
      <c r="B35" s="2" t="s">
        <v>28</v>
      </c>
      <c r="C35" s="3">
        <v>4.7500000000000001E-2</v>
      </c>
      <c r="D35" s="3">
        <v>4.9099999999999998E-2</v>
      </c>
      <c r="E35" s="2">
        <v>50</v>
      </c>
      <c r="F35" s="2" t="s">
        <v>8</v>
      </c>
    </row>
    <row r="36" spans="1:6" x14ac:dyDescent="0.35">
      <c r="A36" s="2" t="s">
        <v>58</v>
      </c>
      <c r="B36" s="2" t="s">
        <v>28</v>
      </c>
      <c r="C36" s="3">
        <v>4.7500000000000001E-2</v>
      </c>
      <c r="D36" s="3">
        <v>4.9099999999999998E-2</v>
      </c>
      <c r="E36" s="2">
        <v>97.52</v>
      </c>
      <c r="F36" s="2" t="s">
        <v>44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8A07-A1F7-4AE5-BA47-99C479DC2294}">
  <sheetPr filterMode="1"/>
  <dimension ref="A1:N36"/>
  <sheetViews>
    <sheetView zoomScale="96" zoomScaleNormal="96" workbookViewId="0">
      <selection activeCell="H8" sqref="H8"/>
    </sheetView>
  </sheetViews>
  <sheetFormatPr defaultRowHeight="14.5" x14ac:dyDescent="0.35"/>
  <cols>
    <col min="1" max="1" width="10" bestFit="1" customWidth="1"/>
    <col min="2" max="2" width="12.26953125" style="11" bestFit="1" customWidth="1"/>
    <col min="3" max="3" width="7.36328125" bestFit="1" customWidth="1"/>
    <col min="4" max="4" width="16.1796875" bestFit="1" customWidth="1"/>
    <col min="5" max="5" width="8.36328125" style="6" bestFit="1" customWidth="1"/>
    <col min="6" max="6" width="7.54296875" bestFit="1" customWidth="1"/>
    <col min="7" max="7" width="20.08984375" customWidth="1"/>
    <col min="8" max="8" width="29.08984375" bestFit="1" customWidth="1"/>
    <col min="9" max="9" width="24.26953125" bestFit="1" customWidth="1"/>
    <col min="10" max="10" width="19.90625" bestFit="1" customWidth="1"/>
    <col min="11" max="11" width="22.90625" bestFit="1" customWidth="1"/>
    <col min="12" max="12" width="18.6328125" bestFit="1" customWidth="1"/>
    <col min="13" max="13" width="19.1796875" bestFit="1" customWidth="1"/>
  </cols>
  <sheetData>
    <row r="1" spans="1:14" ht="14.5" customHeight="1" x14ac:dyDescent="0.35">
      <c r="A1" s="1" t="s">
        <v>0</v>
      </c>
      <c r="B1" s="10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59</v>
      </c>
      <c r="H1" s="1" t="s">
        <v>60</v>
      </c>
      <c r="I1" s="1" t="s">
        <v>61</v>
      </c>
      <c r="J1" s="1"/>
      <c r="K1" s="1"/>
      <c r="L1" s="1"/>
      <c r="M1" s="1"/>
    </row>
    <row r="2" spans="1:14" ht="14.5" customHeight="1" x14ac:dyDescent="0.35">
      <c r="A2" s="2" t="s">
        <v>6</v>
      </c>
      <c r="B2" t="s">
        <v>7</v>
      </c>
      <c r="C2" s="3">
        <v>0</v>
      </c>
      <c r="D2" s="3">
        <v>3.7100000000000001E-2</v>
      </c>
      <c r="E2" s="8">
        <v>99.69</v>
      </c>
      <c r="F2" s="2" t="s">
        <v>8</v>
      </c>
      <c r="G2" s="2" t="str">
        <f t="shared" ref="G2:G36" si="0">IF(D2&gt;6%,"Error: Typo/Yield Sprike", IF(F2="Matured","Error: Matured Security",IF(AND(C2=0,E2&gt;100),"Error: Bill above Par",IF(OR(AND(C2&gt;D2,E2&lt;100),AND(C2&lt;D2,E2&gt;100)),"Error: Price/Yield Divergence","Pass"))))</f>
        <v>Pass</v>
      </c>
      <c r="H2" t="str">
        <f t="shared" ref="H2:H36" si="1">IF(AND(C2=0, ISNUMBER(SEARCH("Year",B2))), "Error: Setup-Missing Coupon", "Pass")</f>
        <v>Pass</v>
      </c>
      <c r="I2">
        <f t="shared" ref="I2:I36" si="2">VALUE(LEFT(B2,FIND("-",B2)-1))*
IF(ISNUMBER(SEARCH("Year",B2)),12,1)</f>
        <v>1</v>
      </c>
      <c r="N2" s="4"/>
    </row>
    <row r="3" spans="1:14" ht="14.5" hidden="1" customHeight="1" x14ac:dyDescent="0.35">
      <c r="A3" s="2" t="s">
        <v>34</v>
      </c>
      <c r="B3" t="s">
        <v>7</v>
      </c>
      <c r="C3" s="3">
        <v>0</v>
      </c>
      <c r="D3" s="3">
        <v>3.7100000000000001E-2</v>
      </c>
      <c r="E3" s="8">
        <v>105</v>
      </c>
      <c r="F3" s="2" t="s">
        <v>8</v>
      </c>
      <c r="G3" s="2" t="str">
        <f t="shared" si="0"/>
        <v>Error: Bill above Par</v>
      </c>
      <c r="H3" t="str">
        <f t="shared" si="1"/>
        <v>Pass</v>
      </c>
      <c r="I3">
        <f t="shared" si="2"/>
        <v>1</v>
      </c>
      <c r="N3" s="4"/>
    </row>
    <row r="4" spans="1:14" ht="14.5" customHeight="1" x14ac:dyDescent="0.35">
      <c r="A4" s="2" t="s">
        <v>36</v>
      </c>
      <c r="B4" t="s">
        <v>45</v>
      </c>
      <c r="C4" s="3">
        <v>0</v>
      </c>
      <c r="D4" s="3">
        <v>3.6999999999999998E-2</v>
      </c>
      <c r="E4" s="8">
        <v>99.43</v>
      </c>
      <c r="F4" s="2" t="s">
        <v>8</v>
      </c>
      <c r="G4" s="2" t="str">
        <f t="shared" si="0"/>
        <v>Pass</v>
      </c>
      <c r="H4" t="str">
        <f t="shared" si="1"/>
        <v>Pass</v>
      </c>
      <c r="I4">
        <f t="shared" si="2"/>
        <v>2</v>
      </c>
      <c r="N4" s="4"/>
    </row>
    <row r="5" spans="1:14" ht="14.5" customHeight="1" x14ac:dyDescent="0.35">
      <c r="A5" s="2" t="s">
        <v>9</v>
      </c>
      <c r="B5" t="s">
        <v>10</v>
      </c>
      <c r="C5" s="3">
        <v>0</v>
      </c>
      <c r="D5" s="3">
        <v>3.6999999999999998E-2</v>
      </c>
      <c r="E5" s="8">
        <v>99.08</v>
      </c>
      <c r="F5" s="2" t="s">
        <v>8</v>
      </c>
      <c r="G5" s="2" t="str">
        <f t="shared" si="0"/>
        <v>Pass</v>
      </c>
      <c r="H5" t="str">
        <f t="shared" si="1"/>
        <v>Pass</v>
      </c>
      <c r="I5">
        <f t="shared" si="2"/>
        <v>3</v>
      </c>
      <c r="N5" s="4"/>
    </row>
    <row r="6" spans="1:14" ht="14.5" customHeight="1" x14ac:dyDescent="0.35">
      <c r="A6" s="2" t="s">
        <v>38</v>
      </c>
      <c r="B6" t="s">
        <v>10</v>
      </c>
      <c r="C6" s="3">
        <v>0</v>
      </c>
      <c r="D6" s="3">
        <v>3.6900000000000002E-2</v>
      </c>
      <c r="E6" s="8">
        <v>99.08</v>
      </c>
      <c r="F6" s="2" t="s">
        <v>8</v>
      </c>
      <c r="G6" s="2" t="str">
        <f t="shared" si="0"/>
        <v>Pass</v>
      </c>
      <c r="H6" t="str">
        <f t="shared" si="1"/>
        <v>Pass</v>
      </c>
      <c r="I6">
        <f t="shared" si="2"/>
        <v>3</v>
      </c>
      <c r="N6" s="4"/>
    </row>
    <row r="7" spans="1:14" ht="14.5" customHeight="1" x14ac:dyDescent="0.35">
      <c r="A7" s="2" t="s">
        <v>11</v>
      </c>
      <c r="B7" t="s">
        <v>12</v>
      </c>
      <c r="C7" s="3">
        <v>0</v>
      </c>
      <c r="D7" s="3">
        <v>3.6700000000000003E-2</v>
      </c>
      <c r="E7" s="8">
        <v>98.18</v>
      </c>
      <c r="F7" s="2" t="s">
        <v>8</v>
      </c>
      <c r="G7" s="2" t="str">
        <f t="shared" si="0"/>
        <v>Pass</v>
      </c>
      <c r="H7" t="str">
        <f t="shared" si="1"/>
        <v>Pass</v>
      </c>
      <c r="I7">
        <f t="shared" si="2"/>
        <v>6</v>
      </c>
      <c r="N7" s="4"/>
    </row>
    <row r="8" spans="1:14" ht="14.5" customHeight="1" x14ac:dyDescent="0.35">
      <c r="A8" s="2" t="s">
        <v>40</v>
      </c>
      <c r="B8" t="s">
        <v>46</v>
      </c>
      <c r="C8" s="3">
        <v>0</v>
      </c>
      <c r="D8" s="3">
        <v>3.6700000000000003E-2</v>
      </c>
      <c r="E8" s="8">
        <v>98.18</v>
      </c>
      <c r="F8" s="2" t="s">
        <v>8</v>
      </c>
      <c r="G8" s="2" t="str">
        <f t="shared" si="0"/>
        <v>Pass</v>
      </c>
      <c r="H8" t="str">
        <f t="shared" si="1"/>
        <v>Pass</v>
      </c>
      <c r="I8">
        <f t="shared" si="2"/>
        <v>6.5</v>
      </c>
      <c r="N8" s="4"/>
    </row>
    <row r="9" spans="1:14" ht="14.5" customHeight="1" x14ac:dyDescent="0.35">
      <c r="A9" s="2" t="s">
        <v>13</v>
      </c>
      <c r="B9" t="s">
        <v>14</v>
      </c>
      <c r="C9" s="3">
        <v>3.3750000000000002E-2</v>
      </c>
      <c r="D9" s="3">
        <v>3.7400000000000003E-2</v>
      </c>
      <c r="E9" s="8">
        <v>99.32</v>
      </c>
      <c r="F9" s="2" t="s">
        <v>8</v>
      </c>
      <c r="G9" s="2" t="str">
        <f t="shared" si="0"/>
        <v>Pass</v>
      </c>
      <c r="H9" t="str">
        <f t="shared" si="1"/>
        <v>Pass</v>
      </c>
      <c r="I9">
        <f t="shared" si="2"/>
        <v>24</v>
      </c>
      <c r="N9" s="4"/>
    </row>
    <row r="10" spans="1:14" ht="14.5" customHeight="1" x14ac:dyDescent="0.35">
      <c r="A10" s="2" t="s">
        <v>15</v>
      </c>
      <c r="B10" t="s">
        <v>14</v>
      </c>
      <c r="C10" s="3">
        <v>3.5000000000000003E-2</v>
      </c>
      <c r="D10" s="3">
        <v>2.1000000000000001E-2</v>
      </c>
      <c r="E10" s="8">
        <v>102.65</v>
      </c>
      <c r="F10" s="2" t="s">
        <v>8</v>
      </c>
      <c r="G10" s="2" t="str">
        <f t="shared" si="0"/>
        <v>Pass</v>
      </c>
      <c r="H10" t="str">
        <f t="shared" si="1"/>
        <v>Pass</v>
      </c>
      <c r="I10">
        <f t="shared" si="2"/>
        <v>24</v>
      </c>
      <c r="N10" s="4"/>
    </row>
    <row r="11" spans="1:14" ht="14.5" customHeight="1" x14ac:dyDescent="0.35">
      <c r="A11" s="2" t="s">
        <v>30</v>
      </c>
      <c r="B11" t="s">
        <v>14</v>
      </c>
      <c r="C11" s="3">
        <v>3.3750000000000002E-2</v>
      </c>
      <c r="D11" s="3">
        <v>3.7400000000000003E-2</v>
      </c>
      <c r="E11" s="8">
        <v>99.32</v>
      </c>
      <c r="F11" s="2" t="s">
        <v>8</v>
      </c>
      <c r="G11" s="2" t="str">
        <f t="shared" si="0"/>
        <v>Pass</v>
      </c>
      <c r="H11" t="str">
        <f t="shared" si="1"/>
        <v>Pass</v>
      </c>
      <c r="I11">
        <f t="shared" si="2"/>
        <v>24</v>
      </c>
      <c r="N11" s="4"/>
    </row>
    <row r="12" spans="1:14" ht="14.5" customHeight="1" x14ac:dyDescent="0.35">
      <c r="A12" s="2" t="s">
        <v>42</v>
      </c>
      <c r="B12" t="s">
        <v>14</v>
      </c>
      <c r="C12" s="3">
        <v>3.3750000000000002E-2</v>
      </c>
      <c r="D12" s="3">
        <v>3.7400000000000003E-2</v>
      </c>
      <c r="E12" s="8">
        <v>99.32</v>
      </c>
      <c r="F12" s="2" t="s">
        <v>8</v>
      </c>
      <c r="G12" s="2" t="str">
        <f t="shared" si="0"/>
        <v>Pass</v>
      </c>
      <c r="H12" t="str">
        <f t="shared" si="1"/>
        <v>Pass</v>
      </c>
      <c r="I12">
        <f t="shared" si="2"/>
        <v>24</v>
      </c>
      <c r="N12" s="4"/>
    </row>
    <row r="13" spans="1:14" ht="14.5" customHeight="1" x14ac:dyDescent="0.35">
      <c r="A13" s="2" t="s">
        <v>55</v>
      </c>
      <c r="B13" t="s">
        <v>14</v>
      </c>
      <c r="C13" s="3">
        <v>3.3750000000000002E-2</v>
      </c>
      <c r="D13" s="3">
        <v>3.7400000000000003E-2</v>
      </c>
      <c r="E13" s="8">
        <v>99.32</v>
      </c>
      <c r="F13" s="2" t="s">
        <v>8</v>
      </c>
      <c r="G13" s="2" t="str">
        <f t="shared" si="0"/>
        <v>Pass</v>
      </c>
      <c r="H13" t="str">
        <f t="shared" si="1"/>
        <v>Pass</v>
      </c>
      <c r="I13">
        <f t="shared" si="2"/>
        <v>24</v>
      </c>
      <c r="N13" s="4"/>
    </row>
    <row r="14" spans="1:14" ht="14.5" customHeight="1" x14ac:dyDescent="0.35">
      <c r="A14" s="2" t="s">
        <v>16</v>
      </c>
      <c r="B14" t="s">
        <v>17</v>
      </c>
      <c r="C14" s="3">
        <v>3.5000000000000003E-2</v>
      </c>
      <c r="D14" s="3">
        <v>3.7600000000000001E-2</v>
      </c>
      <c r="E14" s="8">
        <v>99.28</v>
      </c>
      <c r="F14" s="2" t="s">
        <v>8</v>
      </c>
      <c r="G14" s="2" t="str">
        <f t="shared" si="0"/>
        <v>Pass</v>
      </c>
      <c r="H14" t="str">
        <f t="shared" si="1"/>
        <v>Pass</v>
      </c>
      <c r="I14">
        <f t="shared" si="2"/>
        <v>36</v>
      </c>
      <c r="N14" s="4"/>
    </row>
    <row r="15" spans="1:14" ht="14.5" customHeight="1" x14ac:dyDescent="0.35">
      <c r="A15" s="2" t="s">
        <v>43</v>
      </c>
      <c r="B15" t="s">
        <v>17</v>
      </c>
      <c r="C15" s="3">
        <v>3.5000000000000003E-2</v>
      </c>
      <c r="D15" s="3">
        <v>3.7600000000000001E-2</v>
      </c>
      <c r="E15" s="8">
        <v>99.28</v>
      </c>
      <c r="F15" s="2" t="s">
        <v>8</v>
      </c>
      <c r="G15" s="2" t="str">
        <f t="shared" si="0"/>
        <v>Pass</v>
      </c>
      <c r="H15" t="str">
        <f t="shared" si="1"/>
        <v>Pass</v>
      </c>
      <c r="I15">
        <f t="shared" si="2"/>
        <v>36</v>
      </c>
      <c r="N15" s="4"/>
    </row>
    <row r="16" spans="1:14" ht="14.5" customHeight="1" x14ac:dyDescent="0.35">
      <c r="A16" s="2" t="s">
        <v>18</v>
      </c>
      <c r="B16" t="s">
        <v>19</v>
      </c>
      <c r="C16" s="3">
        <v>3.5000000000000003E-2</v>
      </c>
      <c r="D16" s="3">
        <v>3.8800000000000001E-2</v>
      </c>
      <c r="E16" s="8">
        <v>98.29</v>
      </c>
      <c r="F16" s="2" t="s">
        <v>8</v>
      </c>
      <c r="G16" s="2" t="str">
        <f t="shared" si="0"/>
        <v>Pass</v>
      </c>
      <c r="H16" t="str">
        <f t="shared" si="1"/>
        <v>Pass</v>
      </c>
      <c r="I16">
        <f t="shared" si="2"/>
        <v>60</v>
      </c>
      <c r="N16" s="4"/>
    </row>
    <row r="17" spans="1:14" ht="14.5" hidden="1" customHeight="1" x14ac:dyDescent="0.35">
      <c r="A17" s="2" t="s">
        <v>20</v>
      </c>
      <c r="B17" t="s">
        <v>19</v>
      </c>
      <c r="C17" s="3">
        <v>4.2500000000000003E-2</v>
      </c>
      <c r="D17" s="3">
        <v>3.8800000000000001E-2</v>
      </c>
      <c r="E17" s="8">
        <v>85.4</v>
      </c>
      <c r="F17" s="2" t="s">
        <v>8</v>
      </c>
      <c r="G17" s="2" t="str">
        <f t="shared" si="0"/>
        <v>Error: Price/Yield Divergence</v>
      </c>
      <c r="H17" t="str">
        <f t="shared" si="1"/>
        <v>Pass</v>
      </c>
      <c r="I17">
        <f t="shared" si="2"/>
        <v>60</v>
      </c>
      <c r="N17" s="4"/>
    </row>
    <row r="18" spans="1:14" ht="14.5" customHeight="1" x14ac:dyDescent="0.35">
      <c r="A18" s="2" t="s">
        <v>31</v>
      </c>
      <c r="B18" t="s">
        <v>19</v>
      </c>
      <c r="C18" s="3">
        <v>3.5000000000000003E-2</v>
      </c>
      <c r="D18" s="3">
        <v>3.8800000000000001E-2</v>
      </c>
      <c r="E18" s="8">
        <v>98.29</v>
      </c>
      <c r="F18" s="2" t="s">
        <v>8</v>
      </c>
      <c r="G18" s="2" t="str">
        <f t="shared" si="0"/>
        <v>Pass</v>
      </c>
      <c r="H18" t="str">
        <f t="shared" si="1"/>
        <v>Pass</v>
      </c>
      <c r="I18">
        <f t="shared" si="2"/>
        <v>60</v>
      </c>
      <c r="N18" s="4"/>
    </row>
    <row r="19" spans="1:14" ht="14.5" hidden="1" customHeight="1" x14ac:dyDescent="0.35">
      <c r="A19" s="2" t="s">
        <v>47</v>
      </c>
      <c r="B19" t="s">
        <v>19</v>
      </c>
      <c r="C19" s="3">
        <v>3.5000000000000003E-2</v>
      </c>
      <c r="D19" s="3">
        <v>8.5000000000000006E-2</v>
      </c>
      <c r="E19" s="8">
        <v>75.2</v>
      </c>
      <c r="F19" s="2" t="s">
        <v>8</v>
      </c>
      <c r="G19" s="2" t="str">
        <f t="shared" si="0"/>
        <v>Error: Typo/Yield Sprike</v>
      </c>
      <c r="H19" t="str">
        <f t="shared" si="1"/>
        <v>Pass</v>
      </c>
      <c r="I19">
        <f t="shared" si="2"/>
        <v>60</v>
      </c>
      <c r="N19" s="4"/>
    </row>
    <row r="20" spans="1:14" ht="14.5" customHeight="1" x14ac:dyDescent="0.35">
      <c r="A20" s="2" t="s">
        <v>54</v>
      </c>
      <c r="B20" t="s">
        <v>19</v>
      </c>
      <c r="C20" s="3">
        <v>3.5000000000000003E-2</v>
      </c>
      <c r="D20" s="3">
        <v>3.8800000000000001E-2</v>
      </c>
      <c r="E20" s="8">
        <v>98.29</v>
      </c>
      <c r="F20" s="2" t="s">
        <v>8</v>
      </c>
      <c r="G20" s="2" t="str">
        <f t="shared" si="0"/>
        <v>Pass</v>
      </c>
      <c r="H20" t="str">
        <f t="shared" si="1"/>
        <v>Pass</v>
      </c>
      <c r="I20">
        <f t="shared" si="2"/>
        <v>60</v>
      </c>
      <c r="N20" s="4"/>
    </row>
    <row r="21" spans="1:14" ht="14.5" customHeight="1" x14ac:dyDescent="0.35">
      <c r="A21" s="2" t="s">
        <v>21</v>
      </c>
      <c r="B21" t="s">
        <v>22</v>
      </c>
      <c r="C21" s="3">
        <v>3.7499999999999999E-2</v>
      </c>
      <c r="D21" s="3">
        <v>4.07E-2</v>
      </c>
      <c r="E21" s="8">
        <v>98.1</v>
      </c>
      <c r="F21" s="2" t="s">
        <v>8</v>
      </c>
      <c r="G21" s="2" t="str">
        <f t="shared" si="0"/>
        <v>Pass</v>
      </c>
      <c r="H21" t="str">
        <f t="shared" si="1"/>
        <v>Pass</v>
      </c>
      <c r="I21">
        <f t="shared" si="2"/>
        <v>84</v>
      </c>
      <c r="N21" s="4"/>
    </row>
    <row r="22" spans="1:14" ht="14.5" customHeight="1" x14ac:dyDescent="0.35">
      <c r="A22" s="2" t="s">
        <v>48</v>
      </c>
      <c r="B22" t="s">
        <v>22</v>
      </c>
      <c r="C22" s="3">
        <v>3.7499999999999999E-2</v>
      </c>
      <c r="D22" s="3">
        <v>4.07E-2</v>
      </c>
      <c r="E22" s="8">
        <v>98.1</v>
      </c>
      <c r="F22" s="2" t="s">
        <v>8</v>
      </c>
      <c r="G22" s="2" t="str">
        <f t="shared" si="0"/>
        <v>Pass</v>
      </c>
      <c r="H22" t="str">
        <f t="shared" si="1"/>
        <v>Pass</v>
      </c>
      <c r="I22">
        <f t="shared" si="2"/>
        <v>84</v>
      </c>
      <c r="N22" s="4"/>
    </row>
    <row r="23" spans="1:14" ht="14.5" customHeight="1" x14ac:dyDescent="0.35">
      <c r="A23" s="2" t="s">
        <v>23</v>
      </c>
      <c r="B23" t="s">
        <v>24</v>
      </c>
      <c r="C23" s="3">
        <v>4.1250000000000002E-2</v>
      </c>
      <c r="D23" s="3">
        <v>4.2900000000000001E-2</v>
      </c>
      <c r="E23" s="8">
        <v>98.65</v>
      </c>
      <c r="F23" s="2" t="s">
        <v>8</v>
      </c>
      <c r="G23" s="2" t="str">
        <f t="shared" si="0"/>
        <v>Pass</v>
      </c>
      <c r="H23" t="str">
        <f t="shared" si="1"/>
        <v>Pass</v>
      </c>
      <c r="I23">
        <f t="shared" si="2"/>
        <v>120</v>
      </c>
      <c r="N23" s="4"/>
    </row>
    <row r="24" spans="1:14" ht="14.5" customHeight="1" x14ac:dyDescent="0.35">
      <c r="A24" s="2" t="s">
        <v>32</v>
      </c>
      <c r="B24" t="s">
        <v>24</v>
      </c>
      <c r="C24" s="3">
        <v>4.1250000000000002E-2</v>
      </c>
      <c r="D24" s="3">
        <v>4.2900000000000001E-2</v>
      </c>
      <c r="E24" s="8">
        <v>98.65</v>
      </c>
      <c r="F24" s="2" t="s">
        <v>8</v>
      </c>
      <c r="G24" s="2" t="str">
        <f t="shared" si="0"/>
        <v>Pass</v>
      </c>
      <c r="H24" t="str">
        <f t="shared" si="1"/>
        <v>Pass</v>
      </c>
      <c r="I24">
        <f t="shared" si="2"/>
        <v>120</v>
      </c>
      <c r="N24" s="4"/>
    </row>
    <row r="25" spans="1:14" ht="14.5" customHeight="1" x14ac:dyDescent="0.35">
      <c r="A25" s="2" t="s">
        <v>49</v>
      </c>
      <c r="B25" t="s">
        <v>24</v>
      </c>
      <c r="C25" s="3">
        <v>4.1250000000000002E-2</v>
      </c>
      <c r="D25" s="3">
        <v>4.2900000000000001E-2</v>
      </c>
      <c r="E25" s="8">
        <v>98.65</v>
      </c>
      <c r="F25" s="2" t="s">
        <v>8</v>
      </c>
      <c r="G25" s="2" t="str">
        <f t="shared" si="0"/>
        <v>Pass</v>
      </c>
      <c r="H25" t="str">
        <f t="shared" si="1"/>
        <v>Pass</v>
      </c>
      <c r="I25">
        <f t="shared" si="2"/>
        <v>120</v>
      </c>
    </row>
    <row r="26" spans="1:14" x14ac:dyDescent="0.35">
      <c r="A26" s="2" t="s">
        <v>52</v>
      </c>
      <c r="B26" t="s">
        <v>24</v>
      </c>
      <c r="C26" s="3">
        <v>4.1250000000000002E-2</v>
      </c>
      <c r="D26" s="3">
        <v>4.2900000000000001E-2</v>
      </c>
      <c r="E26" s="8">
        <v>98.65</v>
      </c>
      <c r="F26" s="2" t="s">
        <v>8</v>
      </c>
      <c r="G26" s="2" t="str">
        <f t="shared" si="0"/>
        <v>Pass</v>
      </c>
      <c r="H26" t="str">
        <f t="shared" si="1"/>
        <v>Pass</v>
      </c>
      <c r="I26">
        <f t="shared" si="2"/>
        <v>120</v>
      </c>
    </row>
    <row r="27" spans="1:14" hidden="1" x14ac:dyDescent="0.35">
      <c r="A27" s="2" t="s">
        <v>53</v>
      </c>
      <c r="B27" t="s">
        <v>24</v>
      </c>
      <c r="C27" s="3">
        <v>0</v>
      </c>
      <c r="D27" s="3">
        <v>4.2900000000000001E-2</v>
      </c>
      <c r="E27" s="8">
        <v>98.65</v>
      </c>
      <c r="F27" s="2" t="s">
        <v>8</v>
      </c>
      <c r="G27" s="2" t="str">
        <f t="shared" si="0"/>
        <v>Pass</v>
      </c>
      <c r="H27" t="str">
        <f t="shared" si="1"/>
        <v>Error: Setup-Missing Coupon</v>
      </c>
      <c r="I27">
        <f t="shared" si="2"/>
        <v>120</v>
      </c>
    </row>
    <row r="28" spans="1:14" x14ac:dyDescent="0.35">
      <c r="A28" s="2" t="s">
        <v>25</v>
      </c>
      <c r="B28" t="s">
        <v>26</v>
      </c>
      <c r="C28" s="3">
        <v>4.6249999999999999E-2</v>
      </c>
      <c r="D28" s="3">
        <v>4.6600000000000003E-2</v>
      </c>
      <c r="E28" s="8">
        <v>99.55</v>
      </c>
      <c r="F28" s="2" t="s">
        <v>8</v>
      </c>
      <c r="G28" s="2" t="str">
        <f t="shared" si="0"/>
        <v>Pass</v>
      </c>
      <c r="H28" t="str">
        <f t="shared" si="1"/>
        <v>Pass</v>
      </c>
      <c r="I28">
        <f t="shared" si="2"/>
        <v>240</v>
      </c>
    </row>
    <row r="29" spans="1:14" x14ac:dyDescent="0.35">
      <c r="A29" s="2" t="s">
        <v>50</v>
      </c>
      <c r="B29" t="s">
        <v>26</v>
      </c>
      <c r="C29" s="3">
        <v>4.6249999999999999E-2</v>
      </c>
      <c r="D29" s="3">
        <v>4.6600000000000003E-2</v>
      </c>
      <c r="E29" s="8">
        <v>99.55</v>
      </c>
      <c r="F29" s="2" t="s">
        <v>8</v>
      </c>
      <c r="G29" s="2" t="str">
        <f t="shared" si="0"/>
        <v>Pass</v>
      </c>
      <c r="H29" t="str">
        <f t="shared" si="1"/>
        <v>Pass</v>
      </c>
      <c r="I29">
        <f t="shared" si="2"/>
        <v>240</v>
      </c>
    </row>
    <row r="30" spans="1:14" x14ac:dyDescent="0.35">
      <c r="A30" s="2" t="s">
        <v>27</v>
      </c>
      <c r="B30" t="s">
        <v>28</v>
      </c>
      <c r="C30" s="3">
        <v>4.7500000000000001E-2</v>
      </c>
      <c r="D30" s="3">
        <v>4.9099999999999998E-2</v>
      </c>
      <c r="E30" s="8">
        <v>97.52</v>
      </c>
      <c r="F30" s="2" t="s">
        <v>8</v>
      </c>
      <c r="G30" s="2" t="str">
        <f t="shared" si="0"/>
        <v>Pass</v>
      </c>
      <c r="H30" t="str">
        <f t="shared" si="1"/>
        <v>Pass</v>
      </c>
      <c r="I30">
        <f t="shared" si="2"/>
        <v>360</v>
      </c>
    </row>
    <row r="31" spans="1:14" x14ac:dyDescent="0.35">
      <c r="A31" s="2" t="s">
        <v>29</v>
      </c>
      <c r="B31" t="s">
        <v>28</v>
      </c>
      <c r="C31" s="3">
        <v>4.7500000000000001E-2</v>
      </c>
      <c r="D31" s="3">
        <v>1.4999999999999999E-2</v>
      </c>
      <c r="E31" s="8">
        <v>110.2</v>
      </c>
      <c r="F31" s="2" t="s">
        <v>8</v>
      </c>
      <c r="G31" s="2" t="str">
        <f t="shared" si="0"/>
        <v>Pass</v>
      </c>
      <c r="H31" t="str">
        <f t="shared" si="1"/>
        <v>Pass</v>
      </c>
      <c r="I31">
        <f t="shared" si="2"/>
        <v>360</v>
      </c>
    </row>
    <row r="32" spans="1:14" x14ac:dyDescent="0.35">
      <c r="A32" s="2" t="s">
        <v>33</v>
      </c>
      <c r="B32" t="s">
        <v>28</v>
      </c>
      <c r="C32" s="3">
        <v>4.7500000000000001E-2</v>
      </c>
      <c r="D32" s="3">
        <v>4.9099999999999998E-2</v>
      </c>
      <c r="E32" s="8">
        <v>97.52</v>
      </c>
      <c r="F32" s="2" t="s">
        <v>8</v>
      </c>
      <c r="G32" s="2" t="str">
        <f t="shared" si="0"/>
        <v>Pass</v>
      </c>
      <c r="H32" t="str">
        <f t="shared" si="1"/>
        <v>Pass</v>
      </c>
      <c r="I32">
        <f t="shared" si="2"/>
        <v>360</v>
      </c>
    </row>
    <row r="33" spans="1:9" x14ac:dyDescent="0.35">
      <c r="A33" s="2" t="s">
        <v>51</v>
      </c>
      <c r="B33" t="s">
        <v>28</v>
      </c>
      <c r="C33" s="3">
        <v>4.7500000000000001E-2</v>
      </c>
      <c r="D33" s="3">
        <v>4.9099999999999998E-2</v>
      </c>
      <c r="E33" s="8">
        <v>97.52</v>
      </c>
      <c r="F33" s="2" t="s">
        <v>8</v>
      </c>
      <c r="G33" s="2" t="str">
        <f t="shared" si="0"/>
        <v>Pass</v>
      </c>
      <c r="H33" t="str">
        <f t="shared" si="1"/>
        <v>Pass</v>
      </c>
      <c r="I33">
        <f t="shared" si="2"/>
        <v>360</v>
      </c>
    </row>
    <row r="34" spans="1:9" x14ac:dyDescent="0.35">
      <c r="A34" s="2" t="s">
        <v>56</v>
      </c>
      <c r="B34" t="s">
        <v>28</v>
      </c>
      <c r="C34" s="3">
        <v>4.7500000000000001E-2</v>
      </c>
      <c r="D34" s="3">
        <v>4.9099999999999998E-2</v>
      </c>
      <c r="E34" s="8">
        <v>97.52</v>
      </c>
      <c r="F34" s="2" t="s">
        <v>8</v>
      </c>
      <c r="G34" s="2" t="str">
        <f t="shared" si="0"/>
        <v>Pass</v>
      </c>
      <c r="H34" t="str">
        <f t="shared" si="1"/>
        <v>Pass</v>
      </c>
      <c r="I34">
        <f t="shared" si="2"/>
        <v>360</v>
      </c>
    </row>
    <row r="35" spans="1:9" x14ac:dyDescent="0.35">
      <c r="A35" s="2" t="s">
        <v>57</v>
      </c>
      <c r="B35" t="s">
        <v>28</v>
      </c>
      <c r="C35" s="3">
        <v>4.7500000000000001E-2</v>
      </c>
      <c r="D35" s="3">
        <v>4.9099999999999998E-2</v>
      </c>
      <c r="E35" s="8">
        <v>50</v>
      </c>
      <c r="F35" s="2" t="s">
        <v>8</v>
      </c>
      <c r="G35" s="2" t="str">
        <f t="shared" si="0"/>
        <v>Pass</v>
      </c>
      <c r="H35" t="str">
        <f t="shared" si="1"/>
        <v>Pass</v>
      </c>
      <c r="I35">
        <f t="shared" si="2"/>
        <v>360</v>
      </c>
    </row>
    <row r="36" spans="1:9" hidden="1" x14ac:dyDescent="0.35">
      <c r="A36" s="2" t="s">
        <v>58</v>
      </c>
      <c r="B36" t="s">
        <v>28</v>
      </c>
      <c r="C36" s="3">
        <v>4.7500000000000001E-2</v>
      </c>
      <c r="D36" s="3">
        <v>4.9099999999999998E-2</v>
      </c>
      <c r="E36" s="8">
        <v>97.52</v>
      </c>
      <c r="F36" s="2" t="s">
        <v>44</v>
      </c>
      <c r="G36" s="2" t="str">
        <f t="shared" si="0"/>
        <v>Error: Matured Security</v>
      </c>
      <c r="H36" t="str">
        <f t="shared" si="1"/>
        <v>Pass</v>
      </c>
      <c r="I36">
        <f t="shared" si="2"/>
        <v>360</v>
      </c>
    </row>
  </sheetData>
  <autoFilter ref="A1:I36" xr:uid="{B6D68A07-A1F7-4AE5-BA47-99C479DC2294}">
    <filterColumn colId="6">
      <filters>
        <filter val="Pass"/>
      </filters>
    </filterColumn>
    <filterColumn colId="7">
      <filters>
        <filter val="Pass"/>
      </filters>
    </filterColumn>
    <sortState xmlns:xlrd2="http://schemas.microsoft.com/office/spreadsheetml/2017/richdata2" ref="A2:I36">
      <sortCondition ref="I1:I36"/>
    </sortState>
  </autoFilter>
  <conditionalFormatting sqref="F2:G2 G3:G36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 Curve</vt:lpstr>
      <vt:lpstr>Raw Data</vt:lpstr>
      <vt:lpstr>US Treasury 16.03.2026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</dc:creator>
  <cp:lastModifiedBy>Vamshi</cp:lastModifiedBy>
  <dcterms:created xsi:type="dcterms:W3CDTF">2026-03-16T19:43:54Z</dcterms:created>
  <dcterms:modified xsi:type="dcterms:W3CDTF">2026-03-18T11:20:52Z</dcterms:modified>
</cp:coreProperties>
</file>